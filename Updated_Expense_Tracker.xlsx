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hwetakumari/Downloads/"/>
    </mc:Choice>
  </mc:AlternateContent>
  <xr:revisionPtr revIDLastSave="0" documentId="13_ncr:1_{4D0A45E9-1927-7247-8AE2-1764C1EA256A}" xr6:coauthVersionLast="47" xr6:coauthVersionMax="47" xr10:uidLastSave="{00000000-0000-0000-0000-000000000000}"/>
  <bookViews>
    <workbookView xWindow="4320" yWindow="620" windowWidth="24480" windowHeight="17380" xr2:uid="{00000000-000D-0000-FFFF-FFFF00000000}"/>
  </bookViews>
  <sheets>
    <sheet name="Expense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D34" i="1"/>
  <c r="E3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4" i="1"/>
  <c r="G31" i="1"/>
  <c r="H31" i="1"/>
  <c r="G30" i="1"/>
  <c r="H30" i="1"/>
  <c r="G29" i="1"/>
  <c r="H29" i="1"/>
  <c r="G28" i="1"/>
  <c r="H28" i="1"/>
  <c r="G27" i="1"/>
  <c r="H27" i="1"/>
  <c r="G26" i="1"/>
  <c r="H26" i="1"/>
  <c r="G25" i="1"/>
  <c r="H25" i="1"/>
  <c r="G24" i="1"/>
  <c r="H24" i="1"/>
  <c r="G23" i="1"/>
  <c r="H23" i="1"/>
  <c r="G22" i="1"/>
  <c r="H22" i="1"/>
  <c r="G21" i="1"/>
  <c r="H21" i="1"/>
  <c r="G20" i="1"/>
  <c r="H20" i="1"/>
  <c r="G19" i="1"/>
  <c r="H19" i="1"/>
  <c r="G18" i="1"/>
  <c r="H18" i="1"/>
  <c r="G17" i="1"/>
  <c r="H17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H16" i="1"/>
  <c r="G16" i="1"/>
  <c r="H15" i="1"/>
  <c r="G15" i="1"/>
  <c r="H14" i="1"/>
  <c r="G14" i="1"/>
  <c r="H13" i="1"/>
  <c r="G13" i="1"/>
  <c r="H12" i="1"/>
  <c r="G12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</calcChain>
</file>

<file path=xl/sharedStrings.xml><?xml version="1.0" encoding="utf-8"?>
<sst xmlns="http://schemas.openxmlformats.org/spreadsheetml/2006/main" count="104" uniqueCount="43">
  <si>
    <t>Date</t>
  </si>
  <si>
    <t>Category</t>
  </si>
  <si>
    <t>Description</t>
  </si>
  <si>
    <t>Amount</t>
  </si>
  <si>
    <t>Payment Mode</t>
  </si>
  <si>
    <t>Count</t>
  </si>
  <si>
    <t>Rounded</t>
  </si>
  <si>
    <t>Category Count</t>
  </si>
  <si>
    <t>Food</t>
  </si>
  <si>
    <t>Lunch</t>
  </si>
  <si>
    <t>Cash</t>
  </si>
  <si>
    <t>Transport</t>
  </si>
  <si>
    <t>Bus</t>
  </si>
  <si>
    <t>Shopping</t>
  </si>
  <si>
    <t>Clothes</t>
  </si>
  <si>
    <t>Card</t>
  </si>
  <si>
    <t>Bills</t>
  </si>
  <si>
    <t>Electricity</t>
  </si>
  <si>
    <t>UPI</t>
  </si>
  <si>
    <t>Dinner</t>
  </si>
  <si>
    <t>Entertainment</t>
  </si>
  <si>
    <t>Movie</t>
  </si>
  <si>
    <t>Auto</t>
  </si>
  <si>
    <t>Groceries</t>
  </si>
  <si>
    <t>Internet</t>
  </si>
  <si>
    <t>Shoes</t>
  </si>
  <si>
    <t>Snacks</t>
  </si>
  <si>
    <t>Cab</t>
  </si>
  <si>
    <t>Games</t>
  </si>
  <si>
    <t>Water</t>
  </si>
  <si>
    <t>Type</t>
  </si>
  <si>
    <t>Category-wise Total</t>
  </si>
  <si>
    <t>Party</t>
  </si>
  <si>
    <t>Netflix subscription</t>
  </si>
  <si>
    <t>snacks</t>
  </si>
  <si>
    <t>phone bill</t>
  </si>
  <si>
    <t>cab</t>
  </si>
  <si>
    <t>chocolates</t>
  </si>
  <si>
    <t>Accessories</t>
  </si>
  <si>
    <t>TOTAL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</si>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</sst>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BC539-D661-B843-835C-84C21D28CD0F}" name="Table1" displayName="Table1" ref="A1:J31" totalsRowShown="0">
  <autoFilter ref="A1:J31" xr:uid="{CCEBC539-D661-B843-835C-84C21D28CD0F}"/>
  <tableColumns count="10">
    <tableColumn id="1" xr3:uid="{2867C63C-4FC7-B441-9A1B-57F869B9005B}" name="Date" dataDxfId="1">
      <calculatedColumnFormula>A1+1</calculatedColumnFormula>
    </tableColumn>
    <tableColumn id="2" xr3:uid="{C20ADD7B-386E-1247-8C95-76A3C52F62C4}" name="Category"/>
    <tableColumn id="3" xr3:uid="{7D6CA83A-A842-454B-89E4-EFFAE163514F}" name="Description"/>
    <tableColumn id="4" xr3:uid="{5593A558-3934-8941-97F8-E021705A372E}" name="Amount"/>
    <tableColumn id="5" xr3:uid="{89F195F2-95FE-5E41-A127-9EA471B9ACA0}" name="Payment Mode"/>
    <tableColumn id="6" xr3:uid="{56A8CFEE-298A-E14D-B056-3F6999A3B22A}" name="Count">
      <calculatedColumnFormula>COUNT($D$2:$D$31)</calculatedColumnFormula>
    </tableColumn>
    <tableColumn id="7" xr3:uid="{C712EC09-5478-8B49-8249-EBC1945CC7BF}" name="Type">
      <calculatedColumnFormula>IF(D2&gt;1000,"High","Normal")</calculatedColumnFormula>
    </tableColumn>
    <tableColumn id="8" xr3:uid="{EBB0611B-EF48-C94F-BA90-3C2C9ECE5811}" name="Rounded">
      <calculatedColumnFormula>ROUND(D2,0)</calculatedColumnFormula>
    </tableColumn>
    <tableColumn id="9" xr3:uid="{64926BF2-149F-C446-AC4A-863D14F15600}" name="Category Count">
      <calculatedColumnFormula>COUNTIF($B$2:$B$31,B2)</calculatedColumnFormula>
    </tableColumn>
    <tableColumn id="10" xr3:uid="{ED1DC3FA-343B-DF43-9CD1-8921A9BEA412}" name="Category-wise Total">
      <calculatedColumnFormula>SUMIF($B$2:$B$20,B2,$D$2:$D$20)</calculatedColumnFormula>
    </tableColumn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34AF4-F9B1-D34C-BE8F-6CAE580759C0}" name="Table2" displayName="Table2" ref="D33:G34" totalsRowShown="0">
  <autoFilter ref="D33:G34" xr:uid="{C0B34AF4-F9B1-D34C-BE8F-6CAE580759C0}"/>
  <tableColumns count="4">
    <tableColumn id="1" xr3:uid="{506BAE8D-6C1F-8C48-A146-6803D5A043E7}" name="TOTAL"/>
    <tableColumn id="4" xr3:uid="{7B5AA1EF-161F-2748-857A-EC2A20DCB2CE}" name="AVERAGE" dataDxfId="0"/>
    <tableColumn id="2" xr3:uid="{88B2D1B6-4750-8143-9E2F-2FBFA8444D02}" name="MAX"/>
    <tableColumn id="3" xr3:uid="{DEADBEBD-6F6A-1944-875C-0CBC75FC8132}" name="MIN">
      <calculatedColumnFormula>MIN(Table1[Amount])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G35" sqref="G35"/>
    </sheetView>
  </sheetViews>
  <sheetFormatPr baseColWidth="10" defaultColWidth="8.83203125" defaultRowHeight="15" x14ac:dyDescent="0.2"/>
  <cols>
    <col min="1" max="1" width="10" customWidth="1"/>
    <col min="2" max="2" width="17.1640625" customWidth="1"/>
    <col min="3" max="3" width="16.1640625" customWidth="1"/>
    <col min="4" max="4" width="9.6640625" customWidth="1"/>
    <col min="5" max="5" width="14.83203125" customWidth="1"/>
    <col min="8" max="8" width="10.33203125" customWidth="1"/>
    <col min="9" max="9" width="17.1640625" customWidth="1"/>
    <col min="10" max="10" width="18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</v>
      </c>
      <c r="H1" t="s">
        <v>6</v>
      </c>
      <c r="I1" t="s">
        <v>7</v>
      </c>
      <c r="J1" t="s">
        <v>31</v>
      </c>
    </row>
    <row r="2" spans="1:10" x14ac:dyDescent="0.2">
      <c r="A2" s="1">
        <f>DATE(2026,4,1)</f>
        <v>46113</v>
      </c>
      <c r="B2" t="s">
        <v>8</v>
      </c>
      <c r="C2" t="s">
        <v>9</v>
      </c>
      <c r="D2">
        <v>150</v>
      </c>
      <c r="E2" t="s">
        <v>10</v>
      </c>
      <c r="F2">
        <f>COUNT($D$2:$D$31)</f>
        <v>30</v>
      </c>
      <c r="G2" t="str">
        <f t="shared" ref="G2:G31" si="0">IF(D2&gt;1000,"High","Normal")</f>
        <v>Normal</v>
      </c>
      <c r="H2">
        <f t="shared" ref="H2:H31" si="1">ROUND(D2,0)</f>
        <v>150</v>
      </c>
      <c r="I2">
        <f>COUNTIF($B$2:$B$31,B2)</f>
        <v>14</v>
      </c>
      <c r="J2">
        <f>SUMIF($B$2:$B$20,B2,$D$2:$D$20)</f>
        <v>2770</v>
      </c>
    </row>
    <row r="3" spans="1:10" x14ac:dyDescent="0.2">
      <c r="A3" s="1">
        <f>A2+1</f>
        <v>46114</v>
      </c>
      <c r="B3" t="s">
        <v>11</v>
      </c>
      <c r="C3" t="s">
        <v>12</v>
      </c>
      <c r="D3">
        <v>50</v>
      </c>
      <c r="E3" t="s">
        <v>10</v>
      </c>
      <c r="F3">
        <f t="shared" ref="F3:F31" si="2">COUNT($D$2:$D$31)</f>
        <v>30</v>
      </c>
      <c r="G3" t="str">
        <f t="shared" si="0"/>
        <v>Normal</v>
      </c>
      <c r="H3">
        <f t="shared" si="1"/>
        <v>50</v>
      </c>
      <c r="I3">
        <f t="shared" ref="I3:I31" si="3">COUNTIF($B$2:$B$31,B3)</f>
        <v>5</v>
      </c>
      <c r="J3">
        <f t="shared" ref="J3:J31" si="4">SUMIF($B$2:$B$20,B3,$D$2:$D$20)</f>
        <v>400</v>
      </c>
    </row>
    <row r="4" spans="1:10" x14ac:dyDescent="0.2">
      <c r="A4" s="1">
        <f t="shared" ref="A4:A31" si="5">A3+1</f>
        <v>46115</v>
      </c>
      <c r="B4" t="s">
        <v>13</v>
      </c>
      <c r="C4" t="s">
        <v>14</v>
      </c>
      <c r="D4">
        <v>1200</v>
      </c>
      <c r="E4" t="s">
        <v>15</v>
      </c>
      <c r="F4">
        <f t="shared" si="2"/>
        <v>30</v>
      </c>
      <c r="G4" t="str">
        <f t="shared" si="0"/>
        <v>High</v>
      </c>
      <c r="H4">
        <f t="shared" si="1"/>
        <v>1200</v>
      </c>
      <c r="I4">
        <f t="shared" si="3"/>
        <v>4</v>
      </c>
      <c r="J4">
        <f t="shared" si="4"/>
        <v>3100</v>
      </c>
    </row>
    <row r="5" spans="1:10" x14ac:dyDescent="0.2">
      <c r="A5" s="1">
        <f t="shared" si="5"/>
        <v>46116</v>
      </c>
      <c r="B5" t="s">
        <v>16</v>
      </c>
      <c r="C5" t="s">
        <v>17</v>
      </c>
      <c r="D5">
        <v>800</v>
      </c>
      <c r="E5" t="s">
        <v>18</v>
      </c>
      <c r="F5">
        <f t="shared" si="2"/>
        <v>30</v>
      </c>
      <c r="G5" t="str">
        <f t="shared" si="0"/>
        <v>Normal</v>
      </c>
      <c r="H5">
        <f t="shared" si="1"/>
        <v>800</v>
      </c>
      <c r="I5">
        <f t="shared" si="3"/>
        <v>4</v>
      </c>
      <c r="J5">
        <f t="shared" si="4"/>
        <v>1800</v>
      </c>
    </row>
    <row r="6" spans="1:10" x14ac:dyDescent="0.2">
      <c r="A6" s="1">
        <f t="shared" si="5"/>
        <v>46117</v>
      </c>
      <c r="B6" t="s">
        <v>8</v>
      </c>
      <c r="C6" t="s">
        <v>19</v>
      </c>
      <c r="D6">
        <v>200</v>
      </c>
      <c r="E6" t="s">
        <v>10</v>
      </c>
      <c r="F6">
        <f t="shared" si="2"/>
        <v>30</v>
      </c>
      <c r="G6" t="str">
        <f t="shared" si="0"/>
        <v>Normal</v>
      </c>
      <c r="H6">
        <f t="shared" si="1"/>
        <v>200</v>
      </c>
      <c r="I6">
        <f t="shared" si="3"/>
        <v>14</v>
      </c>
      <c r="J6">
        <f t="shared" si="4"/>
        <v>2770</v>
      </c>
    </row>
    <row r="7" spans="1:10" x14ac:dyDescent="0.2">
      <c r="A7" s="1">
        <f t="shared" si="5"/>
        <v>46118</v>
      </c>
      <c r="B7" t="s">
        <v>20</v>
      </c>
      <c r="C7" t="s">
        <v>21</v>
      </c>
      <c r="D7">
        <v>300</v>
      </c>
      <c r="E7" t="s">
        <v>15</v>
      </c>
      <c r="F7">
        <f t="shared" si="2"/>
        <v>30</v>
      </c>
      <c r="G7" t="str">
        <f t="shared" si="0"/>
        <v>Normal</v>
      </c>
      <c r="H7">
        <f t="shared" si="1"/>
        <v>300</v>
      </c>
      <c r="I7">
        <f t="shared" si="3"/>
        <v>3</v>
      </c>
      <c r="J7">
        <f t="shared" si="4"/>
        <v>999</v>
      </c>
    </row>
    <row r="8" spans="1:10" x14ac:dyDescent="0.2">
      <c r="A8" s="1">
        <f t="shared" si="5"/>
        <v>46119</v>
      </c>
      <c r="B8" t="s">
        <v>11</v>
      </c>
      <c r="C8" t="s">
        <v>22</v>
      </c>
      <c r="D8">
        <v>100</v>
      </c>
      <c r="E8" t="s">
        <v>10</v>
      </c>
      <c r="F8">
        <f t="shared" si="2"/>
        <v>30</v>
      </c>
      <c r="G8" t="str">
        <f t="shared" si="0"/>
        <v>Normal</v>
      </c>
      <c r="H8">
        <f t="shared" si="1"/>
        <v>100</v>
      </c>
      <c r="I8">
        <f t="shared" si="3"/>
        <v>5</v>
      </c>
      <c r="J8">
        <f t="shared" si="4"/>
        <v>400</v>
      </c>
    </row>
    <row r="9" spans="1:10" x14ac:dyDescent="0.2">
      <c r="A9" s="1">
        <f t="shared" si="5"/>
        <v>46120</v>
      </c>
      <c r="B9" t="s">
        <v>8</v>
      </c>
      <c r="C9" t="s">
        <v>23</v>
      </c>
      <c r="D9">
        <v>900</v>
      </c>
      <c r="E9" t="s">
        <v>18</v>
      </c>
      <c r="F9">
        <f t="shared" si="2"/>
        <v>30</v>
      </c>
      <c r="G9" t="str">
        <f t="shared" si="0"/>
        <v>Normal</v>
      </c>
      <c r="H9">
        <f t="shared" si="1"/>
        <v>900</v>
      </c>
      <c r="I9">
        <f t="shared" si="3"/>
        <v>14</v>
      </c>
      <c r="J9">
        <f t="shared" si="4"/>
        <v>2770</v>
      </c>
    </row>
    <row r="10" spans="1:10" x14ac:dyDescent="0.2">
      <c r="A10" s="1">
        <f t="shared" si="5"/>
        <v>46121</v>
      </c>
      <c r="B10" t="s">
        <v>16</v>
      </c>
      <c r="C10" t="s">
        <v>24</v>
      </c>
      <c r="D10">
        <v>700</v>
      </c>
      <c r="E10" t="s">
        <v>18</v>
      </c>
      <c r="F10">
        <f t="shared" si="2"/>
        <v>30</v>
      </c>
      <c r="G10" t="str">
        <f t="shared" si="0"/>
        <v>Normal</v>
      </c>
      <c r="H10">
        <f t="shared" si="1"/>
        <v>700</v>
      </c>
      <c r="I10">
        <f t="shared" si="3"/>
        <v>4</v>
      </c>
      <c r="J10">
        <f t="shared" si="4"/>
        <v>1800</v>
      </c>
    </row>
    <row r="11" spans="1:10" x14ac:dyDescent="0.2">
      <c r="A11" s="1">
        <f t="shared" si="5"/>
        <v>46122</v>
      </c>
      <c r="B11" t="s">
        <v>13</v>
      </c>
      <c r="C11" t="s">
        <v>25</v>
      </c>
      <c r="D11">
        <v>1500</v>
      </c>
      <c r="E11" t="s">
        <v>15</v>
      </c>
      <c r="F11">
        <f t="shared" si="2"/>
        <v>30</v>
      </c>
      <c r="G11" t="str">
        <f t="shared" si="0"/>
        <v>High</v>
      </c>
      <c r="H11">
        <f t="shared" si="1"/>
        <v>1500</v>
      </c>
      <c r="I11">
        <f t="shared" si="3"/>
        <v>4</v>
      </c>
      <c r="J11">
        <f t="shared" si="4"/>
        <v>3100</v>
      </c>
    </row>
    <row r="12" spans="1:10" x14ac:dyDescent="0.2">
      <c r="A12" s="1">
        <f t="shared" si="5"/>
        <v>46123</v>
      </c>
      <c r="B12" t="s">
        <v>8</v>
      </c>
      <c r="C12" t="s">
        <v>26</v>
      </c>
      <c r="D12">
        <v>100</v>
      </c>
      <c r="E12" t="s">
        <v>10</v>
      </c>
      <c r="F12">
        <f t="shared" si="2"/>
        <v>30</v>
      </c>
      <c r="G12" t="str">
        <f t="shared" si="0"/>
        <v>Normal</v>
      </c>
      <c r="H12">
        <f t="shared" si="1"/>
        <v>100</v>
      </c>
      <c r="I12">
        <f t="shared" si="3"/>
        <v>14</v>
      </c>
      <c r="J12">
        <f t="shared" si="4"/>
        <v>2770</v>
      </c>
    </row>
    <row r="13" spans="1:10" x14ac:dyDescent="0.2">
      <c r="A13" s="1">
        <f t="shared" si="5"/>
        <v>46124</v>
      </c>
      <c r="B13" t="s">
        <v>11</v>
      </c>
      <c r="C13" t="s">
        <v>27</v>
      </c>
      <c r="D13">
        <v>250</v>
      </c>
      <c r="E13" t="s">
        <v>18</v>
      </c>
      <c r="F13">
        <f t="shared" si="2"/>
        <v>30</v>
      </c>
      <c r="G13" t="str">
        <f t="shared" si="0"/>
        <v>Normal</v>
      </c>
      <c r="H13">
        <f t="shared" si="1"/>
        <v>250</v>
      </c>
      <c r="I13">
        <f t="shared" si="3"/>
        <v>5</v>
      </c>
      <c r="J13">
        <f t="shared" si="4"/>
        <v>400</v>
      </c>
    </row>
    <row r="14" spans="1:10" x14ac:dyDescent="0.2">
      <c r="A14" s="1">
        <f t="shared" si="5"/>
        <v>46125</v>
      </c>
      <c r="B14" t="s">
        <v>20</v>
      </c>
      <c r="C14" t="s">
        <v>28</v>
      </c>
      <c r="D14">
        <v>400</v>
      </c>
      <c r="E14" t="s">
        <v>15</v>
      </c>
      <c r="F14">
        <f t="shared" si="2"/>
        <v>30</v>
      </c>
      <c r="G14" t="str">
        <f t="shared" si="0"/>
        <v>Normal</v>
      </c>
      <c r="H14">
        <f t="shared" si="1"/>
        <v>400</v>
      </c>
      <c r="I14">
        <f t="shared" si="3"/>
        <v>3</v>
      </c>
      <c r="J14">
        <f t="shared" si="4"/>
        <v>999</v>
      </c>
    </row>
    <row r="15" spans="1:10" x14ac:dyDescent="0.2">
      <c r="A15" s="1">
        <f t="shared" si="5"/>
        <v>46126</v>
      </c>
      <c r="B15" t="s">
        <v>8</v>
      </c>
      <c r="C15" t="s">
        <v>19</v>
      </c>
      <c r="D15">
        <v>300</v>
      </c>
      <c r="E15" t="s">
        <v>10</v>
      </c>
      <c r="F15">
        <f t="shared" si="2"/>
        <v>30</v>
      </c>
      <c r="G15" t="str">
        <f t="shared" si="0"/>
        <v>Normal</v>
      </c>
      <c r="H15">
        <f t="shared" si="1"/>
        <v>300</v>
      </c>
      <c r="I15">
        <f t="shared" si="3"/>
        <v>14</v>
      </c>
      <c r="J15">
        <f t="shared" si="4"/>
        <v>2770</v>
      </c>
    </row>
    <row r="16" spans="1:10" x14ac:dyDescent="0.2">
      <c r="A16" s="1">
        <f t="shared" si="5"/>
        <v>46127</v>
      </c>
      <c r="B16" t="s">
        <v>16</v>
      </c>
      <c r="C16" t="s">
        <v>29</v>
      </c>
      <c r="D16">
        <v>300</v>
      </c>
      <c r="E16" t="s">
        <v>18</v>
      </c>
      <c r="F16">
        <f t="shared" si="2"/>
        <v>30</v>
      </c>
      <c r="G16" t="str">
        <f t="shared" si="0"/>
        <v>Normal</v>
      </c>
      <c r="H16">
        <f t="shared" si="1"/>
        <v>300</v>
      </c>
      <c r="I16">
        <f t="shared" si="3"/>
        <v>4</v>
      </c>
      <c r="J16">
        <f t="shared" si="4"/>
        <v>1800</v>
      </c>
    </row>
    <row r="17" spans="1:10" x14ac:dyDescent="0.2">
      <c r="A17" s="1">
        <f t="shared" si="5"/>
        <v>46128</v>
      </c>
      <c r="B17" t="s">
        <v>8</v>
      </c>
      <c r="C17" t="s">
        <v>32</v>
      </c>
      <c r="D17">
        <v>1000</v>
      </c>
      <c r="E17" t="s">
        <v>18</v>
      </c>
      <c r="F17">
        <f t="shared" si="2"/>
        <v>30</v>
      </c>
      <c r="G17" t="str">
        <f t="shared" si="0"/>
        <v>Normal</v>
      </c>
      <c r="H17">
        <f t="shared" si="1"/>
        <v>1000</v>
      </c>
      <c r="I17">
        <f t="shared" si="3"/>
        <v>14</v>
      </c>
      <c r="J17">
        <f t="shared" si="4"/>
        <v>2770</v>
      </c>
    </row>
    <row r="18" spans="1:10" x14ac:dyDescent="0.2">
      <c r="A18" s="1">
        <f t="shared" si="5"/>
        <v>46129</v>
      </c>
      <c r="B18" t="s">
        <v>13</v>
      </c>
      <c r="C18" t="s">
        <v>38</v>
      </c>
      <c r="D18">
        <v>400</v>
      </c>
      <c r="E18" t="s">
        <v>18</v>
      </c>
      <c r="F18">
        <f t="shared" si="2"/>
        <v>30</v>
      </c>
      <c r="G18" t="str">
        <f t="shared" si="0"/>
        <v>Normal</v>
      </c>
      <c r="H18">
        <f t="shared" si="1"/>
        <v>400</v>
      </c>
      <c r="I18">
        <f t="shared" si="3"/>
        <v>4</v>
      </c>
      <c r="J18">
        <f t="shared" si="4"/>
        <v>3100</v>
      </c>
    </row>
    <row r="19" spans="1:10" x14ac:dyDescent="0.2">
      <c r="A19" s="1">
        <f t="shared" si="5"/>
        <v>46130</v>
      </c>
      <c r="B19" t="s">
        <v>20</v>
      </c>
      <c r="C19" t="s">
        <v>33</v>
      </c>
      <c r="D19">
        <v>299</v>
      </c>
      <c r="E19" t="s">
        <v>18</v>
      </c>
      <c r="F19">
        <f t="shared" si="2"/>
        <v>30</v>
      </c>
      <c r="G19" t="str">
        <f t="shared" si="0"/>
        <v>Normal</v>
      </c>
      <c r="H19">
        <f t="shared" si="1"/>
        <v>299</v>
      </c>
      <c r="I19">
        <f t="shared" si="3"/>
        <v>3</v>
      </c>
      <c r="J19">
        <f t="shared" si="4"/>
        <v>999</v>
      </c>
    </row>
    <row r="20" spans="1:10" x14ac:dyDescent="0.2">
      <c r="A20" s="1">
        <f t="shared" si="5"/>
        <v>46131</v>
      </c>
      <c r="B20" t="s">
        <v>8</v>
      </c>
      <c r="C20" t="s">
        <v>34</v>
      </c>
      <c r="D20">
        <v>120</v>
      </c>
      <c r="E20" t="s">
        <v>18</v>
      </c>
      <c r="F20">
        <f t="shared" si="2"/>
        <v>30</v>
      </c>
      <c r="G20" t="str">
        <f t="shared" si="0"/>
        <v>Normal</v>
      </c>
      <c r="H20">
        <f t="shared" si="1"/>
        <v>120</v>
      </c>
      <c r="I20">
        <f t="shared" si="3"/>
        <v>14</v>
      </c>
      <c r="J20">
        <f t="shared" si="4"/>
        <v>2770</v>
      </c>
    </row>
    <row r="21" spans="1:10" x14ac:dyDescent="0.2">
      <c r="A21" s="1">
        <f t="shared" si="5"/>
        <v>46132</v>
      </c>
      <c r="B21" t="s">
        <v>16</v>
      </c>
      <c r="C21" t="s">
        <v>35</v>
      </c>
      <c r="D21">
        <v>899</v>
      </c>
      <c r="E21" t="s">
        <v>10</v>
      </c>
      <c r="F21">
        <f t="shared" si="2"/>
        <v>30</v>
      </c>
      <c r="G21" t="str">
        <f t="shared" si="0"/>
        <v>Normal</v>
      </c>
      <c r="H21">
        <f t="shared" si="1"/>
        <v>899</v>
      </c>
      <c r="I21">
        <f t="shared" si="3"/>
        <v>4</v>
      </c>
      <c r="J21">
        <f t="shared" si="4"/>
        <v>1800</v>
      </c>
    </row>
    <row r="22" spans="1:10" x14ac:dyDescent="0.2">
      <c r="A22" s="1">
        <f t="shared" si="5"/>
        <v>46133</v>
      </c>
      <c r="B22" t="s">
        <v>8</v>
      </c>
      <c r="C22" t="s">
        <v>19</v>
      </c>
      <c r="D22">
        <v>580</v>
      </c>
      <c r="E22" t="s">
        <v>10</v>
      </c>
      <c r="F22">
        <f t="shared" si="2"/>
        <v>30</v>
      </c>
      <c r="G22" t="str">
        <f t="shared" si="0"/>
        <v>Normal</v>
      </c>
      <c r="H22">
        <f t="shared" si="1"/>
        <v>580</v>
      </c>
      <c r="I22">
        <f t="shared" si="3"/>
        <v>14</v>
      </c>
      <c r="J22">
        <f t="shared" si="4"/>
        <v>2770</v>
      </c>
    </row>
    <row r="23" spans="1:10" x14ac:dyDescent="0.2">
      <c r="A23" s="1">
        <f t="shared" si="5"/>
        <v>46134</v>
      </c>
      <c r="B23" t="s">
        <v>8</v>
      </c>
      <c r="C23" t="s">
        <v>23</v>
      </c>
      <c r="D23">
        <v>2300</v>
      </c>
      <c r="E23" t="s">
        <v>18</v>
      </c>
      <c r="F23">
        <f t="shared" si="2"/>
        <v>30</v>
      </c>
      <c r="G23" t="str">
        <f t="shared" si="0"/>
        <v>High</v>
      </c>
      <c r="H23">
        <f t="shared" si="1"/>
        <v>2300</v>
      </c>
      <c r="I23">
        <f t="shared" si="3"/>
        <v>14</v>
      </c>
      <c r="J23">
        <f t="shared" si="4"/>
        <v>2770</v>
      </c>
    </row>
    <row r="24" spans="1:10" x14ac:dyDescent="0.2">
      <c r="A24" s="1">
        <f t="shared" si="5"/>
        <v>46135</v>
      </c>
      <c r="B24" t="s">
        <v>11</v>
      </c>
      <c r="C24" t="s">
        <v>36</v>
      </c>
      <c r="D24">
        <v>90</v>
      </c>
      <c r="E24" t="s">
        <v>18</v>
      </c>
      <c r="F24">
        <f t="shared" si="2"/>
        <v>30</v>
      </c>
      <c r="G24" t="str">
        <f t="shared" si="0"/>
        <v>Normal</v>
      </c>
      <c r="H24">
        <f t="shared" si="1"/>
        <v>90</v>
      </c>
      <c r="I24">
        <f t="shared" si="3"/>
        <v>5</v>
      </c>
      <c r="J24">
        <f t="shared" si="4"/>
        <v>400</v>
      </c>
    </row>
    <row r="25" spans="1:10" x14ac:dyDescent="0.2">
      <c r="A25" s="1">
        <f t="shared" si="5"/>
        <v>46136</v>
      </c>
      <c r="B25" t="s">
        <v>13</v>
      </c>
      <c r="C25" t="s">
        <v>25</v>
      </c>
      <c r="D25">
        <v>2000</v>
      </c>
      <c r="E25" t="s">
        <v>18</v>
      </c>
      <c r="F25">
        <f t="shared" si="2"/>
        <v>30</v>
      </c>
      <c r="G25" t="str">
        <f t="shared" si="0"/>
        <v>High</v>
      </c>
      <c r="H25">
        <f t="shared" si="1"/>
        <v>2000</v>
      </c>
      <c r="I25">
        <f t="shared" si="3"/>
        <v>4</v>
      </c>
      <c r="J25">
        <f t="shared" si="4"/>
        <v>3100</v>
      </c>
    </row>
    <row r="26" spans="1:10" x14ac:dyDescent="0.2">
      <c r="A26" s="1">
        <f t="shared" si="5"/>
        <v>46137</v>
      </c>
      <c r="B26" t="s">
        <v>8</v>
      </c>
      <c r="C26" t="s">
        <v>37</v>
      </c>
      <c r="D26">
        <v>1200</v>
      </c>
      <c r="E26" t="s">
        <v>18</v>
      </c>
      <c r="F26">
        <f t="shared" si="2"/>
        <v>30</v>
      </c>
      <c r="G26" t="str">
        <f t="shared" si="0"/>
        <v>High</v>
      </c>
      <c r="H26">
        <f t="shared" si="1"/>
        <v>1200</v>
      </c>
      <c r="I26">
        <f t="shared" si="3"/>
        <v>14</v>
      </c>
      <c r="J26">
        <f t="shared" si="4"/>
        <v>2770</v>
      </c>
    </row>
    <row r="27" spans="1:10" x14ac:dyDescent="0.2">
      <c r="A27" s="1">
        <f t="shared" si="5"/>
        <v>46138</v>
      </c>
      <c r="B27" t="s">
        <v>8</v>
      </c>
      <c r="C27" t="s">
        <v>19</v>
      </c>
      <c r="D27">
        <v>80</v>
      </c>
      <c r="E27" t="s">
        <v>18</v>
      </c>
      <c r="F27">
        <f t="shared" si="2"/>
        <v>30</v>
      </c>
      <c r="G27" t="str">
        <f t="shared" si="0"/>
        <v>Normal</v>
      </c>
      <c r="H27">
        <f t="shared" si="1"/>
        <v>80</v>
      </c>
      <c r="I27">
        <f t="shared" si="3"/>
        <v>14</v>
      </c>
      <c r="J27">
        <f t="shared" si="4"/>
        <v>2770</v>
      </c>
    </row>
    <row r="28" spans="1:10" x14ac:dyDescent="0.2">
      <c r="A28" s="1">
        <f t="shared" si="5"/>
        <v>46139</v>
      </c>
      <c r="B28" t="s">
        <v>8</v>
      </c>
      <c r="C28" t="s">
        <v>9</v>
      </c>
      <c r="D28">
        <v>150</v>
      </c>
      <c r="E28" t="s">
        <v>18</v>
      </c>
      <c r="F28">
        <f t="shared" si="2"/>
        <v>30</v>
      </c>
      <c r="G28" t="str">
        <f t="shared" si="0"/>
        <v>Normal</v>
      </c>
      <c r="H28">
        <f t="shared" si="1"/>
        <v>150</v>
      </c>
      <c r="I28">
        <f t="shared" si="3"/>
        <v>14</v>
      </c>
      <c r="J28">
        <f t="shared" si="4"/>
        <v>2770</v>
      </c>
    </row>
    <row r="29" spans="1:10" x14ac:dyDescent="0.2">
      <c r="A29" s="1">
        <f t="shared" si="5"/>
        <v>46140</v>
      </c>
      <c r="B29" t="s">
        <v>11</v>
      </c>
      <c r="C29" t="s">
        <v>27</v>
      </c>
      <c r="D29">
        <v>350</v>
      </c>
      <c r="E29" t="s">
        <v>18</v>
      </c>
      <c r="F29">
        <f t="shared" si="2"/>
        <v>30</v>
      </c>
      <c r="G29" t="str">
        <f t="shared" si="0"/>
        <v>Normal</v>
      </c>
      <c r="H29">
        <f t="shared" si="1"/>
        <v>350</v>
      </c>
      <c r="I29">
        <f t="shared" si="3"/>
        <v>5</v>
      </c>
      <c r="J29">
        <f t="shared" si="4"/>
        <v>400</v>
      </c>
    </row>
    <row r="30" spans="1:10" x14ac:dyDescent="0.2">
      <c r="A30" s="1">
        <f t="shared" si="5"/>
        <v>46141</v>
      </c>
      <c r="B30" t="s">
        <v>8</v>
      </c>
      <c r="C30" t="s">
        <v>9</v>
      </c>
      <c r="D30">
        <v>100</v>
      </c>
      <c r="E30" t="s">
        <v>18</v>
      </c>
      <c r="F30">
        <f t="shared" si="2"/>
        <v>30</v>
      </c>
      <c r="G30" t="str">
        <f t="shared" si="0"/>
        <v>Normal</v>
      </c>
      <c r="H30">
        <f t="shared" si="1"/>
        <v>100</v>
      </c>
      <c r="I30">
        <f t="shared" si="3"/>
        <v>14</v>
      </c>
      <c r="J30">
        <f t="shared" si="4"/>
        <v>2770</v>
      </c>
    </row>
    <row r="31" spans="1:10" x14ac:dyDescent="0.2">
      <c r="A31" s="1">
        <f t="shared" si="5"/>
        <v>46142</v>
      </c>
      <c r="B31" t="s">
        <v>8</v>
      </c>
      <c r="C31" t="s">
        <v>9</v>
      </c>
      <c r="D31">
        <v>120</v>
      </c>
      <c r="E31" t="s">
        <v>18</v>
      </c>
      <c r="F31">
        <f t="shared" si="2"/>
        <v>30</v>
      </c>
      <c r="G31" t="str">
        <f t="shared" si="0"/>
        <v>Normal</v>
      </c>
      <c r="H31">
        <f t="shared" si="1"/>
        <v>120</v>
      </c>
      <c r="I31">
        <f t="shared" si="3"/>
        <v>14</v>
      </c>
      <c r="J31">
        <f t="shared" si="4"/>
        <v>2770</v>
      </c>
    </row>
    <row r="33" spans="4:7" x14ac:dyDescent="0.2">
      <c r="D33" t="s">
        <v>39</v>
      </c>
      <c r="E33" t="s">
        <v>42</v>
      </c>
      <c r="F33" t="s">
        <v>40</v>
      </c>
      <c r="G33" t="s">
        <v>41</v>
      </c>
    </row>
    <row r="34" spans="4:7" x14ac:dyDescent="0.2">
      <c r="D34">
        <f>SUM(Table1[Amount])</f>
        <v>16938</v>
      </c>
      <c r="E34">
        <f>AVERAGE(Table1[Amount])</f>
        <v>564.6</v>
      </c>
      <c r="F34">
        <f>AVERAGE(D2:D31)</f>
        <v>564.6</v>
      </c>
      <c r="G34">
        <f>MIN(Table1[Amount])</f>
        <v>50</v>
      </c>
    </row>
  </sheetData>
  <phoneticPr fontId="1" type="noConversion"/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SHWETA KUMARI</cp:lastModifiedBy>
  <dcterms:created xsi:type="dcterms:W3CDTF">2026-04-15T05:02:32Z</dcterms:created>
  <dcterms:modified xsi:type="dcterms:W3CDTF">2026-04-22T07:01:33Z</dcterms:modified>
</cp:coreProperties>
</file>